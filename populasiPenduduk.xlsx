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PADAGIMO-SOLUSI/"/>
    </mc:Choice>
  </mc:AlternateContent>
  <xr:revisionPtr revIDLastSave="0" documentId="8_{C08BF7C7-1699-4308-9486-D6F169AF47A9}" xr6:coauthVersionLast="47" xr6:coauthVersionMax="47" xr10:uidLastSave="{00000000-0000-0000-0000-000000000000}"/>
  <bookViews>
    <workbookView xWindow="-28920" yWindow="-120" windowWidth="29040" windowHeight="15720" xr2:uid="{93E3B1DD-3800-4EEF-B7BE-F2447AB29B15}"/>
  </bookViews>
  <sheets>
    <sheet name="populasiPenduduk" sheetId="1" r:id="rId1"/>
  </sheets>
  <externalReferences>
    <externalReference r:id="rId2"/>
    <externalReference r:id="rId3"/>
    <externalReference r:id="rId4"/>
  </externalReferences>
  <definedNames>
    <definedName name="Chart_Sektor_name">OFFSET([2]Industri_Unggulan!$B$8,1,1,[2]g!$E$3,1)</definedName>
    <definedName name="Chart_Sektor_x">OFFSET([2]Industri_Unggulan!$F$8,1,1,[2]g!$E$3,1)</definedName>
    <definedName name="Chart_Sektor_y">OFFSET([2]Industri_Unggulan!$E$8,1,1,[2]g!$E$3,1)</definedName>
    <definedName name="cwww10">#REF!</definedName>
    <definedName name="Industri">[3]K.Supply!$P$2:$P$96</definedName>
    <definedName name="Kategori">[3]Sheet1!$U$2:$U$18</definedName>
    <definedName name="Nama_KabKota">[3]Sheet2!$F$2:$F$40</definedName>
    <definedName name="NamaTabel">OFFSET(INDIRECT("S3R!$"&amp;[3]S2LP!$G$2&amp;"$6"),0,0,1,[3]S2LP!$G$1)</definedName>
    <definedName name="NamaTabelImplisit">OFFSET(INDIRECT("S3R!$"&amp;#REF!&amp;"$6"),0,0,1,#REF!)</definedName>
    <definedName name="Produk">[3]K.Supply!$T$2:$T$76</definedName>
    <definedName name="Tabel">OFFSET(INDIRECT("S3R!$"&amp;[3]S2LP!$G$2&amp;"$"&amp;[3]S2LP!$H$1),0,0,1,[3]S2LP!$G$1)</definedName>
    <definedName name="TabelImplisit">OFFSET(INDIRECT("S3R!$"&amp;#REF!&amp;"$"&amp;#REF!),0,0,1,#REF!)</definedName>
    <definedName name="TabelKab">OFFSET(INDIRECT("S3R!$"&amp;[3]S2LP!$G$2&amp;"$"&amp;[3]S2LP!$H$2),0,0,1,[3]S2LP!$G$1)</definedName>
    <definedName name="TabelKabImplisit">OFFSET(INDIRECT("S3R!$"&amp;#REF!&amp;"$"&amp;#REF!),0,0,1,#REF!)</definedName>
    <definedName name="TabelKabTotal">OFFSET(INDIRECT("S3R!$"&amp;[3]S2LP!$G$2&amp;"$170"),0,0,1,[3]S2LP!$G$1)</definedName>
    <definedName name="TabelKabTotalImplisit">OFFSET(INDIRECT("S3R!$"&amp;#REF!&amp;"$293"),0,0,1,#REF!)</definedName>
    <definedName name="TabelTotal">OFFSET(INDIRECT("S3R!$"&amp;[3]S2LP!$G$2&amp;"$169"),0,0,1,[3]S2LP!$G$1)</definedName>
    <definedName name="TabelTotalImplisit">OFFSET(INDIRECT("S3R!$"&amp;#REF!&amp;"$292"),0,0,1,#REF!)</definedName>
    <definedName name="Tahun">[3]Sheet1!$A$2:$A$18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<sst xmlns="http://schemas.openxmlformats.org/spreadsheetml/2006/main" count="2" uniqueCount="2">
  <si>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Year</t>
  </si>
  <si>
    <t>Populasi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</si>
</sst>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2"/>
    <xf numFmtId="0" fontId="2" fillId="0" borderId="0" xfId="2" applyFont="1" applyAlignment="1">
      <alignment horizontal="center"/>
    </xf>
    <xf numFmtId="0" fontId="3" fillId="0" borderId="0" xfId="3"/>
    <xf numFmtId="164" fontId="0" fillId="0" borderId="0" xfId="1" applyFont="1"/>
  </cellXfs>
  <cellStyles count="4">
    <cellStyle name="Comma [0]" xfId="1" builtinId="6"/>
    <cellStyle name="Normal" xfId="0" builtinId="0"/>
    <cellStyle name="Normal 2" xfId="3" xr:uid="{E3DF37F0-88D9-4B30-96BA-7500F96C6007}"/>
    <cellStyle name="Normal 7 2" xfId="2" xr:uid="{4AA81A74-E7E2-4C72-9752-40117E369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PRACTICAL/Shared%20Documents/SOLUSI/Regional_Economy_Analysis_Sulteng/Data%20Input%20RegEco%20-%20SOLUSI%20-%20Sulteng.xlsx" TargetMode="External"/><Relationship Id="rId1" Type="http://schemas.openxmlformats.org/officeDocument/2006/relationships/externalLinkPath" Target="https://icrafcifor.sharepoint.com/sites/PRACTICAL/Shared%20Documents/SOLUSI/Regional_Economy_Analysis_Sulteng/Data%20Input%20RegEco%20-%20SOLUSI%20-%20Sulte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ERESA/WORK/IRIO/IRIO%20ANALISIS/04%20Tranformasi%20IO%20Dinamis%201.4%20dengan%20analisis.xlsm" TargetMode="External"/><Relationship Id="rId1" Type="http://schemas.openxmlformats.org/officeDocument/2006/relationships/externalLinkPath" Target="/THERESA/WORK/IRIO/IRIO%20ANALISIS/04%20Tranformasi%20IO%20Dinamis%201.4%20dengan%20analisi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75BAC6\02%20Data%20&amp;%20Resume%20Rekonsiliasi%20SUT%202016%20input%2016%2012%202020%20NAS%2007%20Desember%20(upload%20daerah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O_2024 (RAW)"/>
      <sheetName val="Tenaga Kerja"/>
      <sheetName val="IO-2024 (CEK)"/>
      <sheetName val="input baris R"/>
      <sheetName val="PDRB_Kabupaten"/>
      <sheetName val="PDRB_Padagimo"/>
      <sheetName val="io"/>
      <sheetName val="DeskripsiSektor"/>
      <sheetName val="BAU_Lahan"/>
      <sheetName val="LAS_Lahan"/>
      <sheetName val="LDC"/>
      <sheetName val="SType1"/>
      <sheetName val="SType2"/>
      <sheetName val="Stype3"/>
      <sheetName val="ProyeksiPopulasi"/>
      <sheetName val="populasiPenduduk"/>
      <sheetName val="populasiPesisir"/>
      <sheetName val="PendudukPesis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B8">
            <v>1367.94</v>
          </cell>
          <cell r="C8">
            <v>1384.48</v>
          </cell>
          <cell r="D8">
            <v>1400.87</v>
          </cell>
          <cell r="E8">
            <v>1417.15</v>
          </cell>
          <cell r="F8">
            <v>1433.25</v>
          </cell>
          <cell r="G8">
            <v>1449.1000000000001</v>
          </cell>
          <cell r="H8">
            <v>1464.8600000000001</v>
          </cell>
          <cell r="I8">
            <v>1480.33</v>
          </cell>
          <cell r="J8">
            <v>1495.45</v>
          </cell>
          <cell r="K8">
            <v>1510.2</v>
          </cell>
          <cell r="L8">
            <v>1524.52</v>
          </cell>
          <cell r="M8">
            <v>1538.47</v>
          </cell>
          <cell r="N8">
            <v>1551.9699999999998</v>
          </cell>
          <cell r="O8">
            <v>1565.08</v>
          </cell>
          <cell r="P8">
            <v>1577.78</v>
          </cell>
          <cell r="Q8">
            <v>1590.05</v>
          </cell>
          <cell r="R8">
            <v>1601.9254100142714</v>
          </cell>
          <cell r="S8">
            <v>1613.395842050478</v>
          </cell>
          <cell r="T8">
            <v>1624.4512017414752</v>
          </cell>
          <cell r="U8">
            <v>1635.0817030720114</v>
          </cell>
          <cell r="V8">
            <v>1645.2778827448251</v>
          </cell>
          <cell r="W8">
            <v>1655.030614156773</v>
          </cell>
          <cell r="X8">
            <v>1664.3311209562307</v>
          </cell>
          <cell r="Y8">
            <v>1673.1709901537024</v>
          </cell>
          <cell r="Z8">
            <v>1681.5421847583343</v>
          </cell>
          <cell r="AA8">
            <v>1689.4370559138652</v>
          </cell>
          <cell r="AB8">
            <v>1696.8483545084507</v>
          </cell>
          <cell r="AC8">
            <v>1704.8150884094762</v>
          </cell>
          <cell r="AD8">
            <v>1713.3446044923946</v>
          </cell>
          <cell r="AE8">
            <v>1722.4448021653222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t_Data"/>
      <sheetName val="Concord"/>
      <sheetName val="Konkordansi"/>
      <sheetName val="Supply"/>
      <sheetName val="SupplyC"/>
      <sheetName val="Use"/>
      <sheetName val="UseC"/>
      <sheetName val="q"/>
      <sheetName val="g"/>
      <sheetName val="TTM"/>
      <sheetName val="TTM_f"/>
      <sheetName val="I_LN"/>
      <sheetName val="I_AP"/>
      <sheetName val="S3.V_Tr"/>
      <sheetName val="S4.D"/>
      <sheetName val="S4.D_b"/>
      <sheetName val="S4.D_f"/>
      <sheetName val="U_I_LN"/>
      <sheetName val="DU_I_LN"/>
      <sheetName val="Am_LN"/>
      <sheetName val="U_I_AP"/>
      <sheetName val="DU_I_AP"/>
      <sheetName val="Am_AP"/>
      <sheetName val="F_I_LN"/>
      <sheetName val="DF_I_LN"/>
      <sheetName val="F_I_AP"/>
      <sheetName val="DF_I_AP"/>
      <sheetName val="S5.U_PCT"/>
      <sheetName val="S6.DU_PCT"/>
      <sheetName val="S7.FD_PCT"/>
      <sheetName val="S8.DFD_PCT"/>
      <sheetName val="I_O PCT"/>
      <sheetName val="Use_PDT"/>
      <sheetName val="S5.U_PDT"/>
      <sheetName val="S6.DU_PDT"/>
      <sheetName val="S7.FD_PDT"/>
      <sheetName val="S8.DFD_PDT"/>
      <sheetName val="I_O PDT"/>
      <sheetName val="Use_PDD"/>
      <sheetName val="S5.U_PDD"/>
      <sheetName val="S6.DU_PDD"/>
      <sheetName val="S7.FD_PDD"/>
      <sheetName val="S8.DFD_PDD"/>
      <sheetName val="I_O PDD"/>
      <sheetName val="1_A"/>
      <sheetName val="2_I-A"/>
      <sheetName val="2_I-A_Inv"/>
      <sheetName val="Industri_Unggulan"/>
      <sheetName val="Chart"/>
      <sheetName val="Rank_Indeks"/>
      <sheetName val="3_Fd"/>
      <sheetName val="3_X"/>
      <sheetName val="4_V_cap"/>
      <sheetName val="4_V"/>
      <sheetName val="5_M_LN"/>
      <sheetName val="5_M_AP"/>
      <sheetName val="5_M"/>
      <sheetName val="M_cap_LN"/>
      <sheetName val="M_cap_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O"/>
      <sheetName val="S1.Supply"/>
      <sheetName val="S1.Use"/>
      <sheetName val="NULL"/>
      <sheetName val="S1.PDRB"/>
      <sheetName val="PDRB_E"/>
      <sheetName val="S2.DK"/>
      <sheetName val="S2.SK"/>
      <sheetName val="S2.SKD"/>
      <sheetName val="S2.RK"/>
      <sheetName val="S2.DB"/>
      <sheetName val="S2.SB"/>
      <sheetName val="S2.RB"/>
      <sheetName val="S2LP"/>
      <sheetName val="S2LI"/>
      <sheetName val="PDRB_P"/>
      <sheetName val="S3RS"/>
      <sheetName val="S3RU"/>
      <sheetName val="S3RK"/>
      <sheetName val="S3RB"/>
      <sheetName val="S3RKS"/>
      <sheetName val="Sheet1"/>
      <sheetName val="S3RKU"/>
      <sheetName val="S3RBS"/>
      <sheetName val="S3RBU"/>
      <sheetName val="Evaluasi"/>
      <sheetName val="Evaluasi 17 Kat"/>
      <sheetName val="Sheet2"/>
      <sheetName val="K.Supply"/>
      <sheetName val="K.Use"/>
      <sheetName val="S99"/>
      <sheetName val="S0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1"/>
      <sheetName val="S31"/>
      <sheetName val="S32"/>
      <sheetName val="S33"/>
      <sheetName val="S34"/>
      <sheetName val="S35"/>
      <sheetName val="S36"/>
      <sheetName val="S51"/>
      <sheetName val="S52"/>
      <sheetName val="S53"/>
      <sheetName val="S61"/>
      <sheetName val="S62"/>
      <sheetName val="S63"/>
      <sheetName val="S64"/>
      <sheetName val="S65"/>
      <sheetName val="S71"/>
      <sheetName val="S72"/>
      <sheetName val="S73"/>
      <sheetName val="S74"/>
      <sheetName val="S75"/>
      <sheetName val="S76"/>
      <sheetName val="S81"/>
      <sheetName val="S82"/>
      <sheetName val="S91"/>
      <sheetName val="S94"/>
      <sheetName val="T.Supply"/>
      <sheetName val="U99"/>
      <sheetName val="PivotSupply"/>
      <sheetName val="PivotUse"/>
      <sheetName val="ListS"/>
      <sheetName val="ListU"/>
      <sheetName val="RekapNull"/>
      <sheetName val="U00"/>
      <sheetName val="U11"/>
      <sheetName val="U12"/>
      <sheetName val="U13"/>
      <sheetName val="U14"/>
      <sheetName val="U15"/>
      <sheetName val="U16"/>
      <sheetName val="U17"/>
      <sheetName val="U18"/>
      <sheetName val="U19"/>
      <sheetName val="U21"/>
      <sheetName val="U31"/>
      <sheetName val="U32"/>
      <sheetName val="U33"/>
      <sheetName val="U34"/>
      <sheetName val="U35"/>
      <sheetName val="U36"/>
      <sheetName val="U51"/>
      <sheetName val="U52"/>
      <sheetName val="U53"/>
      <sheetName val="U61"/>
      <sheetName val="U62"/>
      <sheetName val="U63"/>
      <sheetName val="U64"/>
      <sheetName val="U65"/>
      <sheetName val="U71"/>
      <sheetName val="U72"/>
      <sheetName val="U73"/>
      <sheetName val="U74"/>
      <sheetName val="U75"/>
      <sheetName val="U76"/>
      <sheetName val="U81"/>
      <sheetName val="U82"/>
      <sheetName val="U91"/>
      <sheetName val="U94"/>
      <sheetName val="T.Use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3678-EEA9-4CBF-B609-CECB33893BB0}">
  <dimension ref="A1:B31"/>
  <sheetViews>
    <sheetView tabSelected="1" workbookViewId="0">
      <selection activeCell="B1" sqref="B1"/>
    </sheetView>
  </sheetViews>
  <sheetFormatPr defaultRowHeight="14.4" x14ac:dyDescent="0.3"/>
  <cols>
    <col min="2" max="2" width="10" bestFit="1" customWidth="1"/>
  </cols>
  <sheetData>
    <row r="1" spans="1:2" x14ac:dyDescent="0.3">
      <c r="A1" s="1" t="s">
        <v>0</v>
      </c>
      <c r="B1" s="2" t="s">
        <v>1</v>
      </c>
    </row>
    <row r="2" spans="1:2" ht="15.6" x14ac:dyDescent="0.3">
      <c r="A2" s="3">
        <v>2020</v>
      </c>
      <c r="B2" s="4" cm="1">
        <f t="array" ref="B2:B31">TRANSPOSE([1]ProyeksiPopulasi!B8:AE8)*1000</f>
        <v>1367940</v>
      </c>
    </row>
    <row r="3" spans="1:2" ht="15.6" x14ac:dyDescent="0.3">
      <c r="A3" s="3">
        <v>2021</v>
      </c>
      <c r="B3" s="4">
        <v>1384480</v>
      </c>
    </row>
    <row r="4" spans="1:2" ht="15.6" x14ac:dyDescent="0.3">
      <c r="A4" s="3">
        <v>2022</v>
      </c>
      <c r="B4" s="4">
        <v>1400870</v>
      </c>
    </row>
    <row r="5" spans="1:2" ht="15.6" x14ac:dyDescent="0.3">
      <c r="A5" s="3">
        <v>2023</v>
      </c>
      <c r="B5" s="4">
        <v>1417150</v>
      </c>
    </row>
    <row r="6" spans="1:2" ht="15.6" x14ac:dyDescent="0.3">
      <c r="A6" s="3">
        <v>2024</v>
      </c>
      <c r="B6" s="4">
        <v>1433250</v>
      </c>
    </row>
    <row r="7" spans="1:2" ht="15.6" x14ac:dyDescent="0.3">
      <c r="A7" s="3">
        <v>2025</v>
      </c>
      <c r="B7" s="4">
        <v>1449100.0000000002</v>
      </c>
    </row>
    <row r="8" spans="1:2" ht="15.6" x14ac:dyDescent="0.3">
      <c r="A8" s="3">
        <v>2026</v>
      </c>
      <c r="B8" s="4">
        <v>1464860.0000000002</v>
      </c>
    </row>
    <row r="9" spans="1:2" ht="15.6" x14ac:dyDescent="0.3">
      <c r="A9" s="3">
        <v>2027</v>
      </c>
      <c r="B9" s="4">
        <v>1480330</v>
      </c>
    </row>
    <row r="10" spans="1:2" ht="15.6" x14ac:dyDescent="0.3">
      <c r="A10" s="3">
        <v>2028</v>
      </c>
      <c r="B10" s="4">
        <v>1495450</v>
      </c>
    </row>
    <row r="11" spans="1:2" ht="15.6" x14ac:dyDescent="0.3">
      <c r="A11" s="3">
        <v>2029</v>
      </c>
      <c r="B11" s="4">
        <v>1510200</v>
      </c>
    </row>
    <row r="12" spans="1:2" ht="15.6" x14ac:dyDescent="0.3">
      <c r="A12" s="3">
        <v>2030</v>
      </c>
      <c r="B12" s="4">
        <v>1524520</v>
      </c>
    </row>
    <row r="13" spans="1:2" ht="15.6" x14ac:dyDescent="0.3">
      <c r="A13" s="3">
        <v>2031</v>
      </c>
      <c r="B13" s="4">
        <v>1538470</v>
      </c>
    </row>
    <row r="14" spans="1:2" ht="15.6" x14ac:dyDescent="0.3">
      <c r="A14" s="3">
        <v>2032</v>
      </c>
      <c r="B14" s="4">
        <v>1551969.9999999998</v>
      </c>
    </row>
    <row r="15" spans="1:2" ht="15.6" x14ac:dyDescent="0.3">
      <c r="A15" s="3">
        <v>2033</v>
      </c>
      <c r="B15" s="4">
        <v>1565080</v>
      </c>
    </row>
    <row r="16" spans="1:2" ht="15.6" x14ac:dyDescent="0.3">
      <c r="A16" s="3">
        <v>2034</v>
      </c>
      <c r="B16" s="4">
        <v>1577780</v>
      </c>
    </row>
    <row r="17" spans="1:2" ht="15.6" x14ac:dyDescent="0.3">
      <c r="A17" s="3">
        <v>2035</v>
      </c>
      <c r="B17" s="4">
        <v>1590050</v>
      </c>
    </row>
    <row r="18" spans="1:2" ht="15.6" x14ac:dyDescent="0.3">
      <c r="A18" s="3">
        <v>2036</v>
      </c>
      <c r="B18" s="4">
        <v>1601925.4100142715</v>
      </c>
    </row>
    <row r="19" spans="1:2" ht="15.6" x14ac:dyDescent="0.3">
      <c r="A19" s="3">
        <v>2037</v>
      </c>
      <c r="B19" s="4">
        <v>1613395.8420504781</v>
      </c>
    </row>
    <row r="20" spans="1:2" ht="15.6" x14ac:dyDescent="0.3">
      <c r="A20" s="3">
        <v>2038</v>
      </c>
      <c r="B20" s="4">
        <v>1624451.2017414751</v>
      </c>
    </row>
    <row r="21" spans="1:2" ht="15.6" x14ac:dyDescent="0.3">
      <c r="A21" s="3">
        <v>2039</v>
      </c>
      <c r="B21" s="4">
        <v>1635081.7030720112</v>
      </c>
    </row>
    <row r="22" spans="1:2" ht="15.6" x14ac:dyDescent="0.3">
      <c r="A22" s="3">
        <v>2040</v>
      </c>
      <c r="B22" s="4">
        <v>1645277.882744825</v>
      </c>
    </row>
    <row r="23" spans="1:2" ht="15.6" x14ac:dyDescent="0.3">
      <c r="A23" s="3">
        <v>2041</v>
      </c>
      <c r="B23" s="4">
        <v>1655030.6141567731</v>
      </c>
    </row>
    <row r="24" spans="1:2" ht="15.6" x14ac:dyDescent="0.3">
      <c r="A24" s="3">
        <v>2042</v>
      </c>
      <c r="B24" s="4">
        <v>1664331.1209562307</v>
      </c>
    </row>
    <row r="25" spans="1:2" ht="15.6" x14ac:dyDescent="0.3">
      <c r="A25" s="3">
        <v>2043</v>
      </c>
      <c r="B25" s="4">
        <v>1673170.9901537024</v>
      </c>
    </row>
    <row r="26" spans="1:2" ht="15.6" x14ac:dyDescent="0.3">
      <c r="A26" s="3">
        <v>2044</v>
      </c>
      <c r="B26" s="4">
        <v>1681542.1847583344</v>
      </c>
    </row>
    <row r="27" spans="1:2" ht="15.6" x14ac:dyDescent="0.3">
      <c r="A27" s="3">
        <v>2045</v>
      </c>
      <c r="B27" s="4">
        <v>1689437.0559138651</v>
      </c>
    </row>
    <row r="28" spans="1:2" ht="15.6" x14ac:dyDescent="0.3">
      <c r="A28" s="3">
        <v>2046</v>
      </c>
      <c r="B28" s="4">
        <v>1696848.3545084507</v>
      </c>
    </row>
    <row r="29" spans="1:2" ht="15.6" x14ac:dyDescent="0.3">
      <c r="A29" s="3">
        <v>2047</v>
      </c>
      <c r="B29" s="4">
        <v>1704815.0884094762</v>
      </c>
    </row>
    <row r="30" spans="1:2" ht="15.6" x14ac:dyDescent="0.3">
      <c r="A30" s="3">
        <v>2048</v>
      </c>
      <c r="B30" s="4">
        <v>1713344.6044923947</v>
      </c>
    </row>
    <row r="31" spans="1:2" ht="15.6" x14ac:dyDescent="0.3">
      <c r="A31" s="3">
        <v>2049</v>
      </c>
      <c r="B31" s="4">
        <v>1722444.8021653222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populasiPenduduk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2026-09-11T06:06:35Z</dcterms:created>
  <dcterms:modified xsi:type="dcterms:W3CDTF">2026-09-11T06:06:58Z</dcterms:modified>
</cp:coreProperties>
</file>